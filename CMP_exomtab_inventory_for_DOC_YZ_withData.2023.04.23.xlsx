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41c08febde3b6e/WHOI/c_comp_metabolite_analysis/DOC_TON/"/>
    </mc:Choice>
  </mc:AlternateContent>
  <xr:revisionPtr revIDLastSave="36" documentId="8_{64AD5553-F047-0546-98E5-614A4421644B}" xr6:coauthVersionLast="47" xr6:coauthVersionMax="47" xr10:uidLastSave="{21A7959A-EB37-D04C-AB03-C2781A5B88CD}"/>
  <bookViews>
    <workbookView xWindow="35760" yWindow="4760" windowWidth="27640" windowHeight="15840" xr2:uid="{EAD1296B-0FE7-834F-8FCE-B90FCA57101A}"/>
  </bookViews>
  <sheets>
    <sheet name="Sheet1" sheetId="1" r:id="rId1"/>
  </sheets>
  <definedNames>
    <definedName name="_xlnm.Print_Area" localSheetId="0">Sheet1!$A:$E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M2" i="1"/>
  <c r="M32" i="1"/>
  <c r="M22" i="1"/>
  <c r="M12" i="1"/>
  <c r="K59" i="1" l="1"/>
  <c r="M52" i="1"/>
  <c r="M42" i="1"/>
  <c r="K52" i="1" l="1"/>
  <c r="K53" i="1"/>
  <c r="K54" i="1"/>
  <c r="K55" i="1"/>
  <c r="K56" i="1"/>
  <c r="K57" i="1"/>
  <c r="K5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3" i="1"/>
  <c r="K44" i="1"/>
  <c r="K45" i="1"/>
  <c r="K46" i="1"/>
  <c r="K47" i="1"/>
  <c r="K48" i="1"/>
  <c r="K49" i="1"/>
  <c r="K50" i="1"/>
  <c r="K51" i="1"/>
  <c r="K42" i="1"/>
</calcChain>
</file>

<file path=xl/sharedStrings.xml><?xml version="1.0" encoding="utf-8"?>
<sst xmlns="http://schemas.openxmlformats.org/spreadsheetml/2006/main" count="182" uniqueCount="182">
  <si>
    <t>Sample ID</t>
  </si>
  <si>
    <t>Pro_11-18_filtrate_2</t>
  </si>
  <si>
    <t>Pro_11-18_filtrate_3</t>
  </si>
  <si>
    <t>Syn_10-30_filtrate_3</t>
  </si>
  <si>
    <t>MM_10-10_filtrate_2</t>
  </si>
  <si>
    <t>Pro_11-18_filtrate_6</t>
  </si>
  <si>
    <t>Ehux_9-22_filtrate_5</t>
  </si>
  <si>
    <t>Tpsu_9-24_filtrate_2</t>
  </si>
  <si>
    <t>Tpsu_9-24_filtrate_4</t>
  </si>
  <si>
    <t>Syn_10-30_filtrate_5</t>
  </si>
  <si>
    <t>Ehux_9-22_filtrate_2</t>
  </si>
  <si>
    <t>Croco_10-7_filtrate_4</t>
  </si>
  <si>
    <t>Pro_11-18_filtrate_5</t>
  </si>
  <si>
    <t>Pro_11-18_filtrate_4</t>
  </si>
  <si>
    <t>Tpsu_9-24_filtrate_6</t>
  </si>
  <si>
    <t>Ehux_9-22_filtrate_3</t>
  </si>
  <si>
    <t>Pro_11-18_filtrate_1</t>
  </si>
  <si>
    <t>Ehux_9-22_filtrate_4</t>
  </si>
  <si>
    <t>Syn_10-30_filtrate_4</t>
  </si>
  <si>
    <t>Syn_10-30_filtrate_6</t>
  </si>
  <si>
    <t>Pro_11-18_filtrate_B2</t>
  </si>
  <si>
    <t>Croco_10-7_filtrate_2</t>
  </si>
  <si>
    <t>Tpsu_9-24_filtrate_5</t>
  </si>
  <si>
    <t>MM_10-10_filtrate_5</t>
  </si>
  <si>
    <t>Croco_10-7_filtrate_6</t>
  </si>
  <si>
    <t>MM_10-10_filtrate_4</t>
  </si>
  <si>
    <t>Croco_10-7_filtrate_1</t>
  </si>
  <si>
    <t>Tpsu_9-24_filtrate_1</t>
  </si>
  <si>
    <t>Ehux_9-22_filtrate_B2</t>
  </si>
  <si>
    <t>Pro_11-18_filtrate_B1</t>
  </si>
  <si>
    <t>Ehux_9-22_filtrate_B4</t>
  </si>
  <si>
    <t>Ehux_9-22_filtrate_B3</t>
  </si>
  <si>
    <t>Ehux_9-22_filtrate_B1</t>
  </si>
  <si>
    <t>Tpsu_9-24_filtrate_3</t>
  </si>
  <si>
    <t>Syn_10-30_filtrate_2</t>
  </si>
  <si>
    <t>MM_10-10_filtrate_3</t>
  </si>
  <si>
    <t>Syn_10-30_filtrate_B1</t>
  </si>
  <si>
    <t>Syn_10-30_filtrate_B3</t>
  </si>
  <si>
    <t>Syn_10-30_filtrate_B4</t>
  </si>
  <si>
    <t>Tpsu_9-24_filtrate_B4</t>
  </si>
  <si>
    <t>Tpsu_9-24_filtrate_B2</t>
  </si>
  <si>
    <t>Tpsu_9-24_filtrate_B1</t>
  </si>
  <si>
    <t>Tpsu_9-24_filtrate_B3</t>
  </si>
  <si>
    <t>Croco_10-7_filtrate_3</t>
  </si>
  <si>
    <t>Syn_10-30_filtrate_1</t>
  </si>
  <si>
    <t>MM_10-10_filtrate_B3</t>
  </si>
  <si>
    <t>Ehux_9-22_filtrate_1</t>
  </si>
  <si>
    <t>MM_10-10_filtrate_6</t>
  </si>
  <si>
    <t>Croco_10-7_filtrate_B3</t>
  </si>
  <si>
    <t>Croco_10-7_filtrate_B4</t>
  </si>
  <si>
    <t>MM_10-10_filtrate_B2</t>
  </si>
  <si>
    <t>Croco_10-7_filtrate_B2</t>
  </si>
  <si>
    <t>Syn_10-30_filtrate_B2</t>
  </si>
  <si>
    <t>Croco_10-7_filtrate_5</t>
  </si>
  <si>
    <t>MM_10-10_filtrate_1</t>
  </si>
  <si>
    <t>Croco_10-7_filtrate_B1</t>
  </si>
  <si>
    <t>Ehux_9-22_filtrate_6</t>
  </si>
  <si>
    <t>MM_10-10_filtrate_B1</t>
  </si>
  <si>
    <t>MM_10-10_filtrate_B4</t>
  </si>
  <si>
    <t>CMP016_022223_Lumos_BC_Pro_11_18_filtrate_2</t>
  </si>
  <si>
    <t>CMP016_022223_Lumos_BC_Pro_11_18_filtrate_3</t>
  </si>
  <si>
    <t>CMP009_022223_Lumos_BC_Syn_10_30_filtrate_3</t>
  </si>
  <si>
    <t>CMP008_022223_Lumos_BC_MM_10_10_filtrate_2</t>
  </si>
  <si>
    <t>CMP016_022223_Lumos_BC_Pro_11_18_filtrate_6</t>
  </si>
  <si>
    <t>CMP007_022223_Lumos_BC_Ehux_9_22_filtrate_5</t>
  </si>
  <si>
    <t>CMP014_022223_Lumos_BC_Tpsu_9_24_filtrate_2</t>
  </si>
  <si>
    <t>CMP014_022223_Lumos_BC_Tpsu_9_24_filtrate_4</t>
  </si>
  <si>
    <t>CMP009_022223_Lumos_BC_Syn_10_30_filtrate_5</t>
  </si>
  <si>
    <t>CMP007_022223_Lumos_BC_Ehux_9_22_filtrate_2</t>
  </si>
  <si>
    <t>CMP010_022223_Lumos_BC_Croco_10_7_filtrate_4</t>
  </si>
  <si>
    <t>CMP016_022223_Lumos_BC_Pro_11_18_filtrate_5</t>
  </si>
  <si>
    <t>CMP016_022223_Lumos_BC_Pro_11_18_filtrate_4</t>
  </si>
  <si>
    <t>CMP014_022223_Lumos_BC_Tpsu_9_24_filtrate_6</t>
  </si>
  <si>
    <t>CMP007_022223_Lumos_BC_Ehux_9_22_filtrate_3</t>
  </si>
  <si>
    <t>CMP016_022223_Lumos_BC_Pro_11_18_filtrate_1</t>
  </si>
  <si>
    <t>CMP007_022223_Lumos_BC_Ehux_9_22_filtrate_4</t>
  </si>
  <si>
    <t>CMP009_022223_Lumos_BC_Syn_10_30_filtrate_4</t>
  </si>
  <si>
    <t>CMP009_022223_Lumos_BC_Syn_10_30_filtrate_6</t>
  </si>
  <si>
    <t>CMP016_022223_Lumos_BC_Pro_11_18_filtrate_B2</t>
  </si>
  <si>
    <t>CMP010_022223_Lumos_BC_Croco_10_7_filtrate_2</t>
  </si>
  <si>
    <t>CMP014_022223_Lumos_BC_Tpsu_9_24_filtrate_5</t>
  </si>
  <si>
    <t>CMP008_022223_Lumos_BC_MM_10_10_filtrate_5</t>
  </si>
  <si>
    <t>CMP010_022223_Lumos_BC_Croco_10_7_filtrate_6</t>
  </si>
  <si>
    <t>CMP008_022223_Lumos_BC_MM_10_10_filtrate_4</t>
  </si>
  <si>
    <t>CMP010_022223_Lumos_BC_Croco_10_7_filtrate_1</t>
  </si>
  <si>
    <t>CMP014_022223_Lumos_BC_Tpsu_9_24_filtrate_1</t>
  </si>
  <si>
    <t>CMP007_022223_Lumos_BC_Ehux_9_22_filtrate_B2</t>
  </si>
  <si>
    <t>CMP016_022223_Lumos_BC_Pro_11_18_filtrate_B1</t>
  </si>
  <si>
    <t>CMP007_022223_Lumos_BC_Ehux_9_22_filtrate_B4</t>
  </si>
  <si>
    <t>CMP007_022223_Lumos_BC_Ehux_9_22_filtrate_B3</t>
  </si>
  <si>
    <t>CMP007_022223_Lumos_BC_Ehux_9_22_filtrate_B1</t>
  </si>
  <si>
    <t>CMP014_022223_Lumos_BC_Tpsu_9_24_filtrate_3</t>
  </si>
  <si>
    <t>CMP009_022223_Lumos_BC_Syn_10_30_filtrate_2</t>
  </si>
  <si>
    <t>CMP008_022223_Lumos_BC_MM_10_10_filtrate3</t>
  </si>
  <si>
    <t>CMP009_022223_Lumos_BC_Syn_10_30_filtrate_B1</t>
  </si>
  <si>
    <t>CMP009_022223_Lumos_BC_Syn_10_30_filtrate_B3</t>
  </si>
  <si>
    <t>CMP009_022223_Lumos_BC_Syn_10_30_filtrate_B4</t>
  </si>
  <si>
    <t>CMP014_022223_Lumos_BC_Tpsu_9_24_filtrate_B4</t>
  </si>
  <si>
    <t>CMP014_022223_Lumos_BC_Tpsu_9_24_filtrate_B2</t>
  </si>
  <si>
    <t>CMP014_022223_Lumos_BC_Tpsu_9_24_filtrate_B1</t>
  </si>
  <si>
    <t>CMP014_022223_Lumos_BC_Tpsu_9_24_filtrate_B3</t>
  </si>
  <si>
    <t>CMP010_022223_Lumos_BC_Croco_10_7_filtrate_3</t>
  </si>
  <si>
    <t>CMP009_022223_Lumos_BC_Syn_10_30_filtrate_1</t>
  </si>
  <si>
    <t>CMP008_022223_Lumos_BC_MM_10_10_filtrate_B3</t>
  </si>
  <si>
    <t>CMP007_022223_Lumos_BC_Ehux_9_22_filtrate_1</t>
  </si>
  <si>
    <t>CMP008_022223_Lumos_BC_MM_10_10_filtrate_6</t>
  </si>
  <si>
    <t>CMP010_022223_Lumos_BC_Croco_10_7_filtrate_B3</t>
  </si>
  <si>
    <t>CMP010_022223_Lumos_BC_Croco_10_7_filtrate_B4</t>
  </si>
  <si>
    <t>CMP008_022223_Lumos_BC_MM_10_10_filtrate_B2</t>
  </si>
  <si>
    <t>CMP010_022223_Lumos_BC_Croco_10_7_filtrate_B2</t>
  </si>
  <si>
    <t>CMP009_022223_Lumos_BC_Syn_10_30_filtrate_B2</t>
  </si>
  <si>
    <t>CMP010_022223_Lumos_BC_Croco_10_7_filtrate_5</t>
  </si>
  <si>
    <t>CMP008_022223_Lumos_BC_MM_10_10_filtrate1</t>
  </si>
  <si>
    <t>CMP010_022223_Lumos_BC_Croco_10_7_filtrate_B1</t>
  </si>
  <si>
    <t>CMP007_022223_Lumos_BC_Ehux_9_22_filtrate_6</t>
  </si>
  <si>
    <t>CMP008_022223_Lumos_BC_MM_10_10_filtrate_B1</t>
  </si>
  <si>
    <t>CMP008_022223_Lumos_BC_MM_10_10_filtrate_B4</t>
  </si>
  <si>
    <t>Lumos Filename</t>
  </si>
  <si>
    <t>Vial #</t>
  </si>
  <si>
    <t>Zhu_CCoMP_1</t>
  </si>
  <si>
    <t>Zhu_CCoMP_10</t>
  </si>
  <si>
    <t>Zhu_CCoMP_11</t>
  </si>
  <si>
    <t>Zhu_CCoMP_12</t>
  </si>
  <si>
    <t>Zhu_CCoMP_13</t>
  </si>
  <si>
    <t>Zhu_CCoMP_14</t>
  </si>
  <si>
    <t>Zhu_CCoMP_15</t>
  </si>
  <si>
    <t>Zhu_CCoMP_16</t>
  </si>
  <si>
    <t>Zhu_CCoMP_17</t>
  </si>
  <si>
    <t>Zhu_CCoMP_18</t>
  </si>
  <si>
    <t>Zhu_CCoMP_19</t>
  </si>
  <si>
    <t>Zhu_CCoMP_2</t>
  </si>
  <si>
    <t>Zhu_CCoMP_20</t>
  </si>
  <si>
    <t>Zhu_CCoMP_21</t>
  </si>
  <si>
    <t>Zhu_CCoMP_22</t>
  </si>
  <si>
    <t>Zhu_CCoMP_23</t>
  </si>
  <si>
    <t>Zhu_CCoMP_24</t>
  </si>
  <si>
    <t>Zhu_CCoMP_25</t>
  </si>
  <si>
    <t>Zhu_CCoMP_26</t>
  </si>
  <si>
    <t>Zhu_CCoMP_27</t>
  </si>
  <si>
    <t>Zhu_CCoMP_28</t>
  </si>
  <si>
    <t>Zhu_CCoMP_29</t>
  </si>
  <si>
    <t>Zhu_CCoMP_3</t>
  </si>
  <si>
    <t>Zhu_CCoMP_30</t>
  </si>
  <si>
    <t>Zhu_CCoMP_31</t>
  </si>
  <si>
    <t>Zhu_CCoMP_32</t>
  </si>
  <si>
    <t>Zhu_CCoMP_33</t>
  </si>
  <si>
    <t>Zhu_CCoMP_34</t>
  </si>
  <si>
    <t>Zhu_CCoMP_35</t>
  </si>
  <si>
    <t>Zhu_CCoMP_36</t>
  </si>
  <si>
    <t>Zhu_CCoMP_37</t>
  </si>
  <si>
    <t>Zhu_CCoMP_38</t>
  </si>
  <si>
    <t>Zhu_CCoMP_39</t>
  </si>
  <si>
    <t>Zhu_CCoMP_4</t>
  </si>
  <si>
    <t>Zhu_CCoMP_40</t>
  </si>
  <si>
    <t>Zhu_CCoMP_41</t>
  </si>
  <si>
    <t>Zhu_CCoMP_42</t>
  </si>
  <si>
    <t>Zhu_CCoMP_43</t>
  </si>
  <si>
    <t>Zhu_CCoMP_44</t>
  </si>
  <si>
    <t>Zhu_CCoMP_45</t>
  </si>
  <si>
    <t>Zhu_CCoMP_46</t>
  </si>
  <si>
    <t>Zhu_CCoMP_47</t>
  </si>
  <si>
    <t>Zhu_CCoMP_48</t>
  </si>
  <si>
    <t>Zhu_CCoMP_49</t>
  </si>
  <si>
    <t>Zhu_CCoMP_5</t>
  </si>
  <si>
    <t>Zhu_CCoMP_50</t>
  </si>
  <si>
    <t>Zhu_CCoMP_51</t>
  </si>
  <si>
    <t>Zhu_CCoMP_52</t>
  </si>
  <si>
    <t>Zhu_CCoMP_53</t>
  </si>
  <si>
    <t>Zhu_CCoMP_54</t>
  </si>
  <si>
    <t>Zhu_CCoMP_55</t>
  </si>
  <si>
    <t>Zhu_CCoMP_56</t>
  </si>
  <si>
    <t>Zhu_CCoMP_57</t>
  </si>
  <si>
    <t>Zhu_CCoMP_58</t>
  </si>
  <si>
    <t>Zhu_CCoMP_6</t>
  </si>
  <si>
    <t>Zhu_CCoMP_7</t>
  </si>
  <si>
    <t>Zhu_CCoMP_8</t>
  </si>
  <si>
    <t>Zhu_CCoMP_9</t>
  </si>
  <si>
    <t>filename</t>
  </si>
  <si>
    <t>Date run</t>
  </si>
  <si>
    <t>NPOC(uM)</t>
  </si>
  <si>
    <t>TN(uM)</t>
  </si>
  <si>
    <t>Phytoplankton-derived DOC (µM)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</si>
</sst>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1D1C1D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CEC8-BB40-4146-8491-22F4D0B6D32C}">
  <sheetPr>
    <pageSetUpPr fitToPage="1"/>
  </sheetPr>
  <dimension ref="A1:M59"/>
  <sheetViews>
    <sheetView tabSelected="1" workbookViewId="0">
      <selection activeCell="K2" sqref="K2"/>
    </sheetView>
  </sheetViews>
  <sheetFormatPr baseColWidth="10" defaultColWidth="11" defaultRowHeight="16" x14ac:dyDescent="0.2"/>
  <cols>
    <col min="1" max="1" width="13.6640625" style="4" customWidth="1"/>
    <col min="2" max="2" width="57" customWidth="1"/>
    <col min="3" max="3" width="24.6640625" customWidth="1"/>
    <col min="6" max="6" width="13.83203125" bestFit="1" customWidth="1"/>
  </cols>
  <sheetData>
    <row r="1" spans="1:13" x14ac:dyDescent="0.2">
      <c r="A1" s="5" t="s">
        <v>118</v>
      </c>
      <c r="B1" s="1" t="s">
        <v>117</v>
      </c>
      <c r="C1" s="1" t="s">
        <v>0</v>
      </c>
      <c r="E1" s="8" t="s">
        <v>178</v>
      </c>
      <c r="F1" s="8" t="s">
        <v>177</v>
      </c>
      <c r="G1" s="9" t="s">
        <v>179</v>
      </c>
      <c r="H1" s="9" t="s">
        <v>180</v>
      </c>
      <c r="M1" t="s">
        <v>181</v>
      </c>
    </row>
    <row r="2" spans="1:13" x14ac:dyDescent="0.2">
      <c r="A2" s="4">
        <v>46</v>
      </c>
      <c r="B2" s="3" t="s">
        <v>104</v>
      </c>
      <c r="C2" s="2" t="s">
        <v>46</v>
      </c>
      <c r="E2" s="6">
        <v>45033</v>
      </c>
      <c r="F2" t="s">
        <v>159</v>
      </c>
      <c r="G2" s="7">
        <v>39.472482662070092</v>
      </c>
      <c r="H2" s="7">
        <v>133.61213573814288</v>
      </c>
      <c r="K2">
        <f>G2*6</f>
        <v>236.83489597242055</v>
      </c>
      <c r="M2">
        <f>AVERAGE(K2:K7)-AVERAGE(K8:K11)</f>
        <v>43.141100661653439</v>
      </c>
    </row>
    <row r="3" spans="1:13" x14ac:dyDescent="0.2">
      <c r="A3" s="4">
        <v>10</v>
      </c>
      <c r="B3" s="3" t="s">
        <v>68</v>
      </c>
      <c r="C3" t="s">
        <v>10</v>
      </c>
      <c r="E3" s="6">
        <v>45033</v>
      </c>
      <c r="F3" t="s">
        <v>120</v>
      </c>
      <c r="G3" s="7">
        <v>40.98609801461329</v>
      </c>
      <c r="H3" s="7">
        <v>142.00902272497891</v>
      </c>
      <c r="K3">
        <f t="shared" ref="K3:K41" si="0">G3*6</f>
        <v>245.91658808767974</v>
      </c>
    </row>
    <row r="4" spans="1:13" x14ac:dyDescent="0.2">
      <c r="A4" s="4">
        <v>15</v>
      </c>
      <c r="B4" s="3" t="s">
        <v>73</v>
      </c>
      <c r="C4" s="2" t="s">
        <v>15</v>
      </c>
      <c r="E4" s="6">
        <v>45034</v>
      </c>
      <c r="F4" t="s">
        <v>125</v>
      </c>
      <c r="G4" s="7">
        <v>37.304045889947098</v>
      </c>
      <c r="H4" s="7">
        <v>128.24720740429689</v>
      </c>
      <c r="K4">
        <f t="shared" si="0"/>
        <v>223.82427533968257</v>
      </c>
    </row>
    <row r="5" spans="1:13" x14ac:dyDescent="0.2">
      <c r="A5" s="4">
        <v>17</v>
      </c>
      <c r="B5" s="3" t="s">
        <v>75</v>
      </c>
      <c r="C5" s="2" t="s">
        <v>17</v>
      </c>
      <c r="E5" s="6">
        <v>45034</v>
      </c>
      <c r="F5" t="s">
        <v>127</v>
      </c>
      <c r="G5" s="7">
        <v>39.127335405807699</v>
      </c>
      <c r="H5" s="7">
        <v>132.13682096116491</v>
      </c>
      <c r="K5">
        <f t="shared" si="0"/>
        <v>234.76401243484619</v>
      </c>
    </row>
    <row r="6" spans="1:13" x14ac:dyDescent="0.2">
      <c r="A6" s="4">
        <v>6</v>
      </c>
      <c r="B6" s="3" t="s">
        <v>64</v>
      </c>
      <c r="C6" t="s">
        <v>6</v>
      </c>
      <c r="E6" s="6">
        <v>45034</v>
      </c>
      <c r="F6" s="4" t="s">
        <v>173</v>
      </c>
      <c r="G6" s="7">
        <v>39.315452578079096</v>
      </c>
      <c r="H6" s="7">
        <v>128.62922302148888</v>
      </c>
      <c r="K6">
        <f t="shared" si="0"/>
        <v>235.89271546847459</v>
      </c>
    </row>
    <row r="7" spans="1:13" x14ac:dyDescent="0.2">
      <c r="A7" s="4">
        <v>56</v>
      </c>
      <c r="B7" s="3" t="s">
        <v>114</v>
      </c>
      <c r="C7" s="2" t="s">
        <v>56</v>
      </c>
      <c r="E7" s="6">
        <v>45034</v>
      </c>
      <c r="F7" t="s">
        <v>170</v>
      </c>
      <c r="G7" s="7">
        <v>35.509697477512795</v>
      </c>
      <c r="H7" s="7">
        <v>129.56689771823389</v>
      </c>
      <c r="K7">
        <f t="shared" si="0"/>
        <v>213.05818486507678</v>
      </c>
    </row>
    <row r="8" spans="1:13" x14ac:dyDescent="0.2">
      <c r="A8" s="4">
        <v>32</v>
      </c>
      <c r="B8" s="3" t="s">
        <v>90</v>
      </c>
      <c r="C8" s="2" t="s">
        <v>32</v>
      </c>
      <c r="E8" s="6">
        <v>45034</v>
      </c>
      <c r="F8" t="s">
        <v>144</v>
      </c>
      <c r="G8" s="7">
        <v>31.689471825233298</v>
      </c>
      <c r="H8" s="7">
        <v>146.37558487470091</v>
      </c>
      <c r="K8">
        <f t="shared" si="0"/>
        <v>190.13683095139979</v>
      </c>
    </row>
    <row r="9" spans="1:13" x14ac:dyDescent="0.2">
      <c r="A9" s="4">
        <v>28</v>
      </c>
      <c r="B9" s="3" t="s">
        <v>86</v>
      </c>
      <c r="C9" s="2" t="s">
        <v>28</v>
      </c>
      <c r="E9" s="6">
        <v>45034</v>
      </c>
      <c r="F9" t="s">
        <v>139</v>
      </c>
      <c r="G9" s="7">
        <v>32.528763824597796</v>
      </c>
      <c r="H9" s="7">
        <v>147.5563604187509</v>
      </c>
      <c r="K9">
        <f t="shared" si="0"/>
        <v>195.17258294758676</v>
      </c>
    </row>
    <row r="10" spans="1:13" x14ac:dyDescent="0.2">
      <c r="A10" s="4">
        <v>31</v>
      </c>
      <c r="B10" s="3" t="s">
        <v>89</v>
      </c>
      <c r="C10" s="2" t="s">
        <v>31</v>
      </c>
      <c r="E10" s="6">
        <v>45034</v>
      </c>
      <c r="F10" t="s">
        <v>143</v>
      </c>
      <c r="G10" s="7">
        <v>30.155593343636298</v>
      </c>
      <c r="H10" s="7">
        <v>149.32752373482489</v>
      </c>
      <c r="K10">
        <f t="shared" si="0"/>
        <v>180.93356006181779</v>
      </c>
    </row>
    <row r="11" spans="1:13" x14ac:dyDescent="0.2">
      <c r="A11" s="4">
        <v>30</v>
      </c>
      <c r="B11" s="3" t="s">
        <v>88</v>
      </c>
      <c r="C11" s="2" t="s">
        <v>30</v>
      </c>
      <c r="E11" s="6">
        <v>45034</v>
      </c>
      <c r="F11" t="s">
        <v>142</v>
      </c>
      <c r="G11" s="7">
        <v>31.342178584117001</v>
      </c>
      <c r="H11" s="7">
        <v>148.56349250043991</v>
      </c>
      <c r="K11">
        <f t="shared" si="0"/>
        <v>188.05307150470202</v>
      </c>
    </row>
    <row r="12" spans="1:13" x14ac:dyDescent="0.2">
      <c r="A12" s="4">
        <v>4</v>
      </c>
      <c r="B12" s="3" t="s">
        <v>62</v>
      </c>
      <c r="C12" t="s">
        <v>4</v>
      </c>
      <c r="E12" s="6">
        <v>45033</v>
      </c>
      <c r="F12" t="s">
        <v>168</v>
      </c>
      <c r="G12" s="7">
        <v>38.88702766721849</v>
      </c>
      <c r="H12" s="7">
        <v>143.92831117911288</v>
      </c>
      <c r="K12">
        <f t="shared" si="0"/>
        <v>233.32216600331094</v>
      </c>
      <c r="M12">
        <f>AVERAGE(K12:K17)-AVERAGE(K18:K21)</f>
        <v>40.477649573454215</v>
      </c>
    </row>
    <row r="13" spans="1:13" x14ac:dyDescent="0.2">
      <c r="A13" s="4">
        <v>25</v>
      </c>
      <c r="B13" s="3" t="s">
        <v>83</v>
      </c>
      <c r="C13" s="2" t="s">
        <v>25</v>
      </c>
      <c r="E13" s="6">
        <v>45033</v>
      </c>
      <c r="F13" t="s">
        <v>152</v>
      </c>
      <c r="G13" s="7">
        <v>37.230618413491889</v>
      </c>
      <c r="H13" s="7">
        <v>140.60382939248788</v>
      </c>
      <c r="K13">
        <f t="shared" si="0"/>
        <v>223.38371048095132</v>
      </c>
    </row>
    <row r="14" spans="1:13" x14ac:dyDescent="0.2">
      <c r="A14" s="4">
        <v>23</v>
      </c>
      <c r="B14" s="3" t="s">
        <v>81</v>
      </c>
      <c r="C14" t="s">
        <v>23</v>
      </c>
      <c r="E14" s="6">
        <v>45033</v>
      </c>
      <c r="F14" t="s">
        <v>147</v>
      </c>
      <c r="G14" s="7">
        <v>33.917799906038695</v>
      </c>
      <c r="H14" s="7">
        <v>149.48053849285688</v>
      </c>
      <c r="K14">
        <f t="shared" si="0"/>
        <v>203.50679943623217</v>
      </c>
    </row>
    <row r="15" spans="1:13" x14ac:dyDescent="0.2">
      <c r="A15" s="4">
        <v>47</v>
      </c>
      <c r="B15" s="3" t="s">
        <v>105</v>
      </c>
      <c r="C15" s="2" t="s">
        <v>47</v>
      </c>
      <c r="E15" s="6">
        <v>45034</v>
      </c>
      <c r="F15" t="s">
        <v>136</v>
      </c>
      <c r="G15" s="7">
        <v>33.773231271931195</v>
      </c>
      <c r="H15" s="7">
        <v>135.26240328364889</v>
      </c>
      <c r="K15">
        <f t="shared" si="0"/>
        <v>202.63938763158717</v>
      </c>
    </row>
    <row r="16" spans="1:13" x14ac:dyDescent="0.2">
      <c r="A16" s="4">
        <v>57</v>
      </c>
      <c r="B16" s="3" t="s">
        <v>115</v>
      </c>
      <c r="C16" s="2" t="s">
        <v>57</v>
      </c>
      <c r="E16" s="6">
        <v>45034</v>
      </c>
      <c r="F16" t="s">
        <v>134</v>
      </c>
      <c r="G16" s="7">
        <v>33.874525133923498</v>
      </c>
      <c r="H16" s="7">
        <v>136.0611632105059</v>
      </c>
      <c r="K16">
        <f t="shared" si="0"/>
        <v>203.24715080354099</v>
      </c>
    </row>
    <row r="17" spans="1:13" x14ac:dyDescent="0.2">
      <c r="A17" s="4">
        <v>50</v>
      </c>
      <c r="B17" s="3" t="s">
        <v>108</v>
      </c>
      <c r="C17" s="2" t="s">
        <v>50</v>
      </c>
      <c r="E17" s="6">
        <v>45033</v>
      </c>
      <c r="F17" t="s">
        <v>160</v>
      </c>
      <c r="G17" s="7">
        <v>36.459531347101894</v>
      </c>
      <c r="H17" s="7">
        <v>141.6320196357739</v>
      </c>
      <c r="K17">
        <f t="shared" si="0"/>
        <v>218.75718808261138</v>
      </c>
    </row>
    <row r="18" spans="1:13" x14ac:dyDescent="0.2">
      <c r="A18" s="4">
        <v>45</v>
      </c>
      <c r="B18" s="3" t="s">
        <v>103</v>
      </c>
      <c r="C18" s="2" t="s">
        <v>45</v>
      </c>
      <c r="E18" s="6">
        <v>45034</v>
      </c>
      <c r="F18" t="s">
        <v>171</v>
      </c>
      <c r="G18" s="7">
        <v>28.520421000046898</v>
      </c>
      <c r="H18" s="7">
        <v>148.63294988538391</v>
      </c>
      <c r="K18">
        <f t="shared" si="0"/>
        <v>171.1225260002814</v>
      </c>
    </row>
    <row r="19" spans="1:13" x14ac:dyDescent="0.2">
      <c r="A19" s="4">
        <v>58</v>
      </c>
      <c r="B19" s="3" t="s">
        <v>116</v>
      </c>
      <c r="C19" s="2" t="s">
        <v>58</v>
      </c>
      <c r="E19" s="6">
        <v>45033</v>
      </c>
      <c r="F19" t="s">
        <v>164</v>
      </c>
      <c r="G19" s="7">
        <v>29.619703480420593</v>
      </c>
      <c r="H19" s="7">
        <v>162.4014625501519</v>
      </c>
      <c r="K19">
        <f t="shared" si="0"/>
        <v>177.71822088252355</v>
      </c>
    </row>
    <row r="20" spans="1:13" x14ac:dyDescent="0.2">
      <c r="A20" s="4">
        <v>54</v>
      </c>
      <c r="B20" s="3" t="s">
        <v>112</v>
      </c>
      <c r="C20" s="2" t="s">
        <v>54</v>
      </c>
      <c r="E20" s="6">
        <v>45033</v>
      </c>
      <c r="F20" t="s">
        <v>158</v>
      </c>
      <c r="G20" s="7">
        <v>31.561700536513889</v>
      </c>
      <c r="H20" s="7">
        <v>162.4014625501519</v>
      </c>
      <c r="K20">
        <f t="shared" si="0"/>
        <v>189.37020321908335</v>
      </c>
    </row>
    <row r="21" spans="1:13" x14ac:dyDescent="0.2">
      <c r="A21" s="4">
        <v>35</v>
      </c>
      <c r="B21" s="3" t="s">
        <v>93</v>
      </c>
      <c r="C21" s="2" t="s">
        <v>35</v>
      </c>
      <c r="E21" s="6">
        <v>45034</v>
      </c>
      <c r="F21" t="s">
        <v>172</v>
      </c>
      <c r="G21" s="7">
        <v>26.074897760519598</v>
      </c>
      <c r="H21" s="7">
        <v>166.34458304612392</v>
      </c>
      <c r="K21">
        <f t="shared" si="0"/>
        <v>156.44938656311757</v>
      </c>
    </row>
    <row r="22" spans="1:13" x14ac:dyDescent="0.2">
      <c r="A22" s="4">
        <v>44</v>
      </c>
      <c r="B22" s="3" t="s">
        <v>102</v>
      </c>
      <c r="C22" t="s">
        <v>44</v>
      </c>
      <c r="E22" s="6">
        <v>45034</v>
      </c>
      <c r="F22" t="s">
        <v>157</v>
      </c>
      <c r="G22" s="7">
        <v>117.5721962429553</v>
      </c>
      <c r="H22" s="7">
        <v>1475.6162892420077</v>
      </c>
      <c r="K22">
        <f t="shared" si="0"/>
        <v>705.43317745773174</v>
      </c>
      <c r="M22">
        <f>AVERAGE(K22:K27)-AVERAGE(K28:K31)</f>
        <v>162.64214197860622</v>
      </c>
    </row>
    <row r="23" spans="1:13" x14ac:dyDescent="0.2">
      <c r="A23" s="4">
        <v>34</v>
      </c>
      <c r="B23" s="3" t="s">
        <v>92</v>
      </c>
      <c r="C23" t="s">
        <v>34</v>
      </c>
      <c r="E23" s="6">
        <v>45034</v>
      </c>
      <c r="F23" t="s">
        <v>146</v>
      </c>
      <c r="G23" s="7">
        <v>110.4816259034973</v>
      </c>
      <c r="H23" s="7">
        <v>1462.4193861026379</v>
      </c>
      <c r="K23">
        <f t="shared" si="0"/>
        <v>662.88975542098387</v>
      </c>
    </row>
    <row r="24" spans="1:13" x14ac:dyDescent="0.2">
      <c r="A24" s="4">
        <v>3</v>
      </c>
      <c r="B24" s="3" t="s">
        <v>61</v>
      </c>
      <c r="C24" t="s">
        <v>3</v>
      </c>
      <c r="E24" s="6">
        <v>45034</v>
      </c>
      <c r="F24" t="s">
        <v>141</v>
      </c>
      <c r="G24" s="7">
        <v>112.16020990222628</v>
      </c>
      <c r="H24" s="7">
        <v>1465.5449684251178</v>
      </c>
      <c r="K24">
        <f t="shared" si="0"/>
        <v>672.96125941335777</v>
      </c>
    </row>
    <row r="25" spans="1:13" x14ac:dyDescent="0.2">
      <c r="A25" s="4">
        <v>18</v>
      </c>
      <c r="B25" s="3" t="s">
        <v>76</v>
      </c>
      <c r="C25" t="s">
        <v>18</v>
      </c>
      <c r="E25" s="6">
        <v>45034</v>
      </c>
      <c r="F25" t="s">
        <v>128</v>
      </c>
      <c r="G25" s="7">
        <v>110.9446835583193</v>
      </c>
      <c r="H25" s="7">
        <v>1471.7961330700878</v>
      </c>
      <c r="K25">
        <f t="shared" si="0"/>
        <v>665.66810134991579</v>
      </c>
    </row>
    <row r="26" spans="1:13" x14ac:dyDescent="0.2">
      <c r="A26" s="4">
        <v>9</v>
      </c>
      <c r="B26" s="3" t="s">
        <v>67</v>
      </c>
      <c r="C26" t="s">
        <v>9</v>
      </c>
      <c r="E26" s="6">
        <v>45033</v>
      </c>
      <c r="F26" t="s">
        <v>176</v>
      </c>
      <c r="G26" s="7">
        <v>117.280879416864</v>
      </c>
      <c r="H26" s="7">
        <v>1557.0729815514469</v>
      </c>
      <c r="K26">
        <f t="shared" si="0"/>
        <v>703.68527650118403</v>
      </c>
    </row>
    <row r="27" spans="1:13" x14ac:dyDescent="0.2">
      <c r="A27" s="4">
        <v>19</v>
      </c>
      <c r="B27" s="3" t="s">
        <v>77</v>
      </c>
      <c r="C27" t="s">
        <v>19</v>
      </c>
      <c r="E27" s="6">
        <v>45033</v>
      </c>
      <c r="F27" t="s">
        <v>129</v>
      </c>
      <c r="G27" s="7">
        <v>113.72531127739899</v>
      </c>
      <c r="H27" s="7">
        <v>1555.0166010648768</v>
      </c>
      <c r="K27">
        <f t="shared" si="0"/>
        <v>682.35186766439392</v>
      </c>
    </row>
    <row r="28" spans="1:13" x14ac:dyDescent="0.2">
      <c r="A28" s="4">
        <v>36</v>
      </c>
      <c r="B28" s="3" t="s">
        <v>94</v>
      </c>
      <c r="C28" s="2" t="s">
        <v>36</v>
      </c>
      <c r="E28" s="6">
        <v>45034</v>
      </c>
      <c r="F28" t="s">
        <v>148</v>
      </c>
      <c r="G28" s="7">
        <v>85.968511301370711</v>
      </c>
      <c r="H28" s="7">
        <v>1483.9511754352977</v>
      </c>
      <c r="K28">
        <f t="shared" si="0"/>
        <v>515.81106780822427</v>
      </c>
    </row>
    <row r="29" spans="1:13" x14ac:dyDescent="0.2">
      <c r="A29" s="4">
        <v>52</v>
      </c>
      <c r="B29" s="3" t="s">
        <v>110</v>
      </c>
      <c r="C29" s="2" t="s">
        <v>52</v>
      </c>
      <c r="E29" s="6">
        <v>45034</v>
      </c>
      <c r="F29" t="s">
        <v>166</v>
      </c>
      <c r="G29" s="7">
        <v>85.042395991727204</v>
      </c>
      <c r="H29" s="7">
        <v>1482.9093146611378</v>
      </c>
      <c r="K29">
        <f t="shared" si="0"/>
        <v>510.25437595036323</v>
      </c>
    </row>
    <row r="30" spans="1:13" x14ac:dyDescent="0.2">
      <c r="A30" s="4">
        <v>37</v>
      </c>
      <c r="B30" s="3" t="s">
        <v>95</v>
      </c>
      <c r="C30" s="2" t="s">
        <v>37</v>
      </c>
      <c r="E30" s="6">
        <v>45034</v>
      </c>
      <c r="F30" t="s">
        <v>149</v>
      </c>
      <c r="G30" s="7">
        <v>88.9783860577121</v>
      </c>
      <c r="H30" s="7">
        <v>1488.4659054566678</v>
      </c>
      <c r="K30">
        <f t="shared" si="0"/>
        <v>533.8703163462726</v>
      </c>
    </row>
    <row r="31" spans="1:13" x14ac:dyDescent="0.2">
      <c r="A31" s="4">
        <v>38</v>
      </c>
      <c r="B31" s="3" t="s">
        <v>96</v>
      </c>
      <c r="C31" s="2" t="s">
        <v>38</v>
      </c>
      <c r="E31" s="6">
        <v>45034</v>
      </c>
      <c r="F31" t="s">
        <v>150</v>
      </c>
      <c r="G31" s="7">
        <v>86.359216197626608</v>
      </c>
      <c r="H31" s="7">
        <v>1490.8969139297078</v>
      </c>
      <c r="K31">
        <f t="shared" si="0"/>
        <v>518.15529718575965</v>
      </c>
    </row>
    <row r="32" spans="1:13" x14ac:dyDescent="0.2">
      <c r="A32" s="4">
        <v>26</v>
      </c>
      <c r="B32" s="3" t="s">
        <v>84</v>
      </c>
      <c r="C32" s="2" t="s">
        <v>26</v>
      </c>
      <c r="E32" s="6">
        <v>45034</v>
      </c>
      <c r="F32" t="s">
        <v>137</v>
      </c>
      <c r="G32" s="7">
        <v>122.62241879085531</v>
      </c>
      <c r="H32" s="7">
        <v>9.8084745976534791</v>
      </c>
      <c r="K32">
        <f t="shared" si="0"/>
        <v>735.73451274513184</v>
      </c>
      <c r="M32">
        <f>AVERAGE(K32:K37)-AVERAGE(K38:K41)</f>
        <v>183.97837283843364</v>
      </c>
    </row>
    <row r="33" spans="1:13" x14ac:dyDescent="0.2">
      <c r="A33" s="4">
        <v>21</v>
      </c>
      <c r="B33" s="3" t="s">
        <v>79</v>
      </c>
      <c r="C33" t="s">
        <v>21</v>
      </c>
      <c r="E33" s="6">
        <v>45033</v>
      </c>
      <c r="F33" t="s">
        <v>132</v>
      </c>
      <c r="G33" s="7">
        <v>125.50580812502399</v>
      </c>
      <c r="H33" s="7">
        <v>9.7974666416371878</v>
      </c>
      <c r="K33">
        <f t="shared" si="0"/>
        <v>753.03484875014396</v>
      </c>
    </row>
    <row r="34" spans="1:13" x14ac:dyDescent="0.2">
      <c r="A34" s="4">
        <v>43</v>
      </c>
      <c r="B34" s="3" t="s">
        <v>101</v>
      </c>
      <c r="C34" s="2" t="s">
        <v>43</v>
      </c>
      <c r="E34" s="6">
        <v>45034</v>
      </c>
      <c r="F34" s="4" t="s">
        <v>156</v>
      </c>
      <c r="G34" s="7">
        <v>122.95524148025831</v>
      </c>
      <c r="H34" s="7">
        <v>9.5271721886299581</v>
      </c>
      <c r="K34">
        <f t="shared" si="0"/>
        <v>737.7314488815498</v>
      </c>
    </row>
    <row r="35" spans="1:13" x14ac:dyDescent="0.2">
      <c r="A35" s="4">
        <v>11</v>
      </c>
      <c r="B35" s="3" t="s">
        <v>69</v>
      </c>
      <c r="C35" t="s">
        <v>11</v>
      </c>
      <c r="E35" s="6">
        <v>45033</v>
      </c>
      <c r="F35" t="s">
        <v>121</v>
      </c>
      <c r="G35" s="7">
        <v>124.52053020685899</v>
      </c>
      <c r="H35" s="7">
        <v>10.568609324101727</v>
      </c>
      <c r="K35">
        <f t="shared" si="0"/>
        <v>747.12318124115393</v>
      </c>
    </row>
    <row r="36" spans="1:13" x14ac:dyDescent="0.2">
      <c r="A36" s="4">
        <v>53</v>
      </c>
      <c r="B36" s="3" t="s">
        <v>111</v>
      </c>
      <c r="C36" s="2" t="s">
        <v>53</v>
      </c>
      <c r="E36" s="6">
        <v>45033</v>
      </c>
      <c r="F36" t="s">
        <v>167</v>
      </c>
      <c r="G36" s="7">
        <v>121.05063840810399</v>
      </c>
      <c r="H36" s="7">
        <v>8.5088015367186873</v>
      </c>
      <c r="K36">
        <f t="shared" si="0"/>
        <v>726.30383044862401</v>
      </c>
    </row>
    <row r="37" spans="1:13" x14ac:dyDescent="0.2">
      <c r="A37" s="4">
        <v>24</v>
      </c>
      <c r="B37" s="3" t="s">
        <v>82</v>
      </c>
      <c r="C37" s="2" t="s">
        <v>24</v>
      </c>
      <c r="E37" s="6">
        <v>45034</v>
      </c>
      <c r="F37" t="s">
        <v>135</v>
      </c>
      <c r="G37" s="7">
        <v>123.0999469973903</v>
      </c>
      <c r="H37" s="7">
        <v>10.75309503289296</v>
      </c>
      <c r="K37">
        <f t="shared" si="0"/>
        <v>738.59968198434183</v>
      </c>
    </row>
    <row r="38" spans="1:13" x14ac:dyDescent="0.2">
      <c r="A38" s="4">
        <v>55</v>
      </c>
      <c r="B38" s="3" t="s">
        <v>113</v>
      </c>
      <c r="C38" s="2" t="s">
        <v>55</v>
      </c>
      <c r="E38" s="6">
        <v>45033</v>
      </c>
      <c r="F38" t="s">
        <v>169</v>
      </c>
      <c r="G38" s="7">
        <v>93.819841452443796</v>
      </c>
      <c r="H38" s="7">
        <v>10.777674673569887</v>
      </c>
      <c r="K38">
        <f t="shared" si="0"/>
        <v>562.91904871466272</v>
      </c>
    </row>
    <row r="39" spans="1:13" x14ac:dyDescent="0.2">
      <c r="A39" s="4">
        <v>51</v>
      </c>
      <c r="B39" s="3" t="s">
        <v>109</v>
      </c>
      <c r="C39" s="2" t="s">
        <v>51</v>
      </c>
      <c r="E39" s="6">
        <v>45034</v>
      </c>
      <c r="F39" s="4" t="s">
        <v>165</v>
      </c>
      <c r="G39" s="7">
        <v>89.065209367991201</v>
      </c>
      <c r="H39" s="7">
        <v>11.527544875019439</v>
      </c>
      <c r="K39">
        <f t="shared" si="0"/>
        <v>534.39125620794721</v>
      </c>
    </row>
    <row r="40" spans="1:13" x14ac:dyDescent="0.2">
      <c r="A40" s="4">
        <v>48</v>
      </c>
      <c r="B40" s="3" t="s">
        <v>106</v>
      </c>
      <c r="C40" s="2" t="s">
        <v>48</v>
      </c>
      <c r="E40" s="6">
        <v>45033</v>
      </c>
      <c r="F40" t="s">
        <v>161</v>
      </c>
      <c r="G40" s="7">
        <v>95.904632409720293</v>
      </c>
      <c r="H40" s="7">
        <v>10.568609324101727</v>
      </c>
      <c r="K40">
        <f t="shared" si="0"/>
        <v>575.42779445832173</v>
      </c>
    </row>
    <row r="41" spans="1:13" x14ac:dyDescent="0.2">
      <c r="A41" s="4">
        <v>49</v>
      </c>
      <c r="B41" s="3" t="s">
        <v>107</v>
      </c>
      <c r="C41" s="2" t="s">
        <v>49</v>
      </c>
      <c r="E41" s="6">
        <v>45034</v>
      </c>
      <c r="F41" t="s">
        <v>162</v>
      </c>
      <c r="G41" s="7">
        <v>91.727790883216301</v>
      </c>
      <c r="H41" s="7">
        <v>11.378211497389669</v>
      </c>
      <c r="K41">
        <f t="shared" si="0"/>
        <v>550.3667452992978</v>
      </c>
    </row>
    <row r="42" spans="1:13" x14ac:dyDescent="0.2">
      <c r="A42" s="4">
        <v>27</v>
      </c>
      <c r="B42" s="3" t="s">
        <v>85</v>
      </c>
      <c r="C42" s="2" t="s">
        <v>27</v>
      </c>
      <c r="E42" s="6">
        <v>45034</v>
      </c>
      <c r="F42" t="s">
        <v>138</v>
      </c>
      <c r="G42" s="7">
        <v>36.4647538905826</v>
      </c>
      <c r="H42" s="7">
        <v>133.5606973525189</v>
      </c>
      <c r="K42">
        <f>G42*6</f>
        <v>218.7885233434956</v>
      </c>
      <c r="M42">
        <f>AVERAGE(K42:K47)-AVERAGE(K48:K51)</f>
        <v>38.321146058446317</v>
      </c>
    </row>
    <row r="43" spans="1:13" x14ac:dyDescent="0.2">
      <c r="A43" s="4">
        <v>7</v>
      </c>
      <c r="B43" s="3" t="s">
        <v>65</v>
      </c>
      <c r="C43" t="s">
        <v>7</v>
      </c>
      <c r="E43" s="6">
        <v>45034</v>
      </c>
      <c r="F43" t="s">
        <v>174</v>
      </c>
      <c r="G43" s="7">
        <v>44.857673884226898</v>
      </c>
      <c r="H43" s="7">
        <v>135.0887598212889</v>
      </c>
      <c r="K43">
        <f t="shared" ref="K43:K58" si="1">G43*6</f>
        <v>269.14604330536139</v>
      </c>
    </row>
    <row r="44" spans="1:13" x14ac:dyDescent="0.2">
      <c r="A44" s="4">
        <v>33</v>
      </c>
      <c r="B44" s="3" t="s">
        <v>91</v>
      </c>
      <c r="C44" s="2" t="s">
        <v>33</v>
      </c>
      <c r="E44" s="6">
        <v>45033</v>
      </c>
      <c r="F44" t="s">
        <v>145</v>
      </c>
      <c r="G44" s="7">
        <v>38.358690232840189</v>
      </c>
      <c r="H44" s="7">
        <v>146.63587881976591</v>
      </c>
      <c r="K44">
        <f t="shared" si="1"/>
        <v>230.15214139704113</v>
      </c>
    </row>
    <row r="45" spans="1:13" x14ac:dyDescent="0.2">
      <c r="A45" s="4">
        <v>8</v>
      </c>
      <c r="B45" s="3" t="s">
        <v>66</v>
      </c>
      <c r="C45" t="s">
        <v>8</v>
      </c>
      <c r="E45" s="6">
        <v>45033</v>
      </c>
      <c r="F45" t="s">
        <v>175</v>
      </c>
      <c r="G45" s="7">
        <v>43.099447752126594</v>
      </c>
      <c r="H45" s="7">
        <v>146.7044248359849</v>
      </c>
      <c r="K45">
        <f t="shared" si="1"/>
        <v>258.59668651275956</v>
      </c>
    </row>
    <row r="46" spans="1:13" x14ac:dyDescent="0.2">
      <c r="A46" s="4">
        <v>22</v>
      </c>
      <c r="B46" s="3" t="s">
        <v>80</v>
      </c>
      <c r="C46" s="2" t="s">
        <v>22</v>
      </c>
      <c r="E46" s="6">
        <v>45033</v>
      </c>
      <c r="F46" t="s">
        <v>133</v>
      </c>
      <c r="G46" s="7">
        <v>40.914701064021692</v>
      </c>
      <c r="H46" s="7">
        <v>148.17816418469491</v>
      </c>
      <c r="K46">
        <f t="shared" si="1"/>
        <v>245.48820638413014</v>
      </c>
    </row>
    <row r="47" spans="1:13" x14ac:dyDescent="0.2">
      <c r="A47" s="4">
        <v>14</v>
      </c>
      <c r="B47" s="3" t="s">
        <v>72</v>
      </c>
      <c r="C47" t="s">
        <v>14</v>
      </c>
      <c r="E47" s="6">
        <v>45033</v>
      </c>
      <c r="F47" t="s">
        <v>124</v>
      </c>
      <c r="G47" s="7">
        <v>39.943702535975092</v>
      </c>
      <c r="H47" s="7">
        <v>142.14611475741688</v>
      </c>
      <c r="K47">
        <f t="shared" si="1"/>
        <v>239.66221521585055</v>
      </c>
    </row>
    <row r="48" spans="1:13" x14ac:dyDescent="0.2">
      <c r="A48" s="4">
        <v>41</v>
      </c>
      <c r="B48" s="3" t="s">
        <v>99</v>
      </c>
      <c r="C48" s="2" t="s">
        <v>41</v>
      </c>
      <c r="E48" s="6">
        <v>45033</v>
      </c>
      <c r="F48" t="s">
        <v>154</v>
      </c>
      <c r="G48" s="7">
        <v>37.202059633255189</v>
      </c>
      <c r="H48" s="7">
        <v>155.16985783903991</v>
      </c>
      <c r="K48">
        <f t="shared" si="1"/>
        <v>223.21235779953113</v>
      </c>
    </row>
    <row r="49" spans="1:13" x14ac:dyDescent="0.2">
      <c r="A49" s="4">
        <v>40</v>
      </c>
      <c r="B49" s="3" t="s">
        <v>98</v>
      </c>
      <c r="C49" s="2" t="s">
        <v>40</v>
      </c>
      <c r="E49" s="6">
        <v>45034</v>
      </c>
      <c r="F49" t="s">
        <v>153</v>
      </c>
      <c r="G49" s="7">
        <v>31.978882859496899</v>
      </c>
      <c r="H49" s="7">
        <v>146.61868572200589</v>
      </c>
      <c r="K49">
        <f t="shared" si="1"/>
        <v>191.87329715698138</v>
      </c>
    </row>
    <row r="50" spans="1:13" x14ac:dyDescent="0.2">
      <c r="A50" s="4">
        <v>42</v>
      </c>
      <c r="B50" s="3" t="s">
        <v>100</v>
      </c>
      <c r="C50" s="2" t="s">
        <v>42</v>
      </c>
      <c r="E50" s="6">
        <v>45033</v>
      </c>
      <c r="F50" t="s">
        <v>155</v>
      </c>
      <c r="G50" s="7">
        <v>35.588488549883593</v>
      </c>
      <c r="H50" s="7">
        <v>153.04493133624891</v>
      </c>
      <c r="K50">
        <f t="shared" si="1"/>
        <v>213.53093129930156</v>
      </c>
    </row>
    <row r="51" spans="1:13" x14ac:dyDescent="0.2">
      <c r="A51" s="4">
        <v>39</v>
      </c>
      <c r="B51" s="3" t="s">
        <v>97</v>
      </c>
      <c r="C51" s="2" t="s">
        <v>39</v>
      </c>
      <c r="E51" s="6">
        <v>45034</v>
      </c>
      <c r="F51" t="s">
        <v>151</v>
      </c>
      <c r="G51" s="7">
        <v>32.109117824915501</v>
      </c>
      <c r="H51" s="7">
        <v>153.39078075405291</v>
      </c>
      <c r="K51">
        <f t="shared" si="1"/>
        <v>192.654706949493</v>
      </c>
    </row>
    <row r="52" spans="1:13" x14ac:dyDescent="0.2">
      <c r="A52" s="4">
        <v>16</v>
      </c>
      <c r="B52" s="3" t="s">
        <v>74</v>
      </c>
      <c r="C52" s="2" t="s">
        <v>16</v>
      </c>
      <c r="E52" s="6">
        <v>45033</v>
      </c>
      <c r="F52" t="s">
        <v>126</v>
      </c>
      <c r="G52" s="7">
        <v>39.04410095852009</v>
      </c>
      <c r="H52" s="7">
        <v>109.4839380290299</v>
      </c>
      <c r="K52">
        <f t="shared" si="1"/>
        <v>234.26460575112054</v>
      </c>
      <c r="M52">
        <f>AVERAGE(K52:K57)-AVERAGE(K58:K59)</f>
        <v>29.451284319395171</v>
      </c>
    </row>
    <row r="53" spans="1:13" x14ac:dyDescent="0.2">
      <c r="A53" s="4">
        <v>1</v>
      </c>
      <c r="B53" s="3" t="s">
        <v>59</v>
      </c>
      <c r="C53" t="s">
        <v>1</v>
      </c>
      <c r="E53" s="6">
        <v>45033</v>
      </c>
      <c r="F53" t="s">
        <v>119</v>
      </c>
      <c r="G53" s="7">
        <v>44.313195912184788</v>
      </c>
      <c r="H53" s="7">
        <v>124.73542663777289</v>
      </c>
      <c r="K53">
        <f t="shared" si="1"/>
        <v>265.87917547310872</v>
      </c>
    </row>
    <row r="54" spans="1:13" x14ac:dyDescent="0.2">
      <c r="A54" s="4">
        <v>2</v>
      </c>
      <c r="B54" s="3" t="s">
        <v>60</v>
      </c>
      <c r="C54" t="s">
        <v>2</v>
      </c>
      <c r="E54" s="6">
        <v>45034</v>
      </c>
      <c r="F54" t="s">
        <v>130</v>
      </c>
      <c r="G54" s="7">
        <v>43.135678230358501</v>
      </c>
      <c r="H54" s="7">
        <v>115.11976164986591</v>
      </c>
      <c r="K54">
        <f t="shared" si="1"/>
        <v>258.81406938215099</v>
      </c>
    </row>
    <row r="55" spans="1:13" x14ac:dyDescent="0.2">
      <c r="A55" s="4">
        <v>13</v>
      </c>
      <c r="B55" s="3" t="s">
        <v>71</v>
      </c>
      <c r="C55" s="2" t="s">
        <v>13</v>
      </c>
      <c r="E55" s="6">
        <v>45034</v>
      </c>
      <c r="F55" t="s">
        <v>123</v>
      </c>
      <c r="G55" s="7">
        <v>44.611674505102897</v>
      </c>
      <c r="H55" s="7">
        <v>113.93898610581691</v>
      </c>
      <c r="K55">
        <f t="shared" si="1"/>
        <v>267.67004703061741</v>
      </c>
    </row>
    <row r="56" spans="1:13" x14ac:dyDescent="0.2">
      <c r="A56" s="4">
        <v>12</v>
      </c>
      <c r="B56" s="3" t="s">
        <v>70</v>
      </c>
      <c r="C56" t="s">
        <v>12</v>
      </c>
      <c r="E56" s="6">
        <v>45033</v>
      </c>
      <c r="F56" t="s">
        <v>122</v>
      </c>
      <c r="G56" s="7">
        <v>37.544764996095189</v>
      </c>
      <c r="H56" s="7">
        <v>114.5220702211319</v>
      </c>
      <c r="K56">
        <f t="shared" si="1"/>
        <v>225.26858997657115</v>
      </c>
    </row>
    <row r="57" spans="1:13" x14ac:dyDescent="0.2">
      <c r="A57" s="4">
        <v>5</v>
      </c>
      <c r="B57" s="3" t="s">
        <v>63</v>
      </c>
      <c r="C57" t="s">
        <v>5</v>
      </c>
      <c r="E57" s="6">
        <v>45034</v>
      </c>
      <c r="F57" s="4" t="s">
        <v>163</v>
      </c>
      <c r="G57" s="7">
        <v>35.249227546675598</v>
      </c>
      <c r="H57" s="7">
        <v>111.9941793273819</v>
      </c>
      <c r="K57">
        <f t="shared" si="1"/>
        <v>211.49536528005359</v>
      </c>
    </row>
    <row r="58" spans="1:13" x14ac:dyDescent="0.2">
      <c r="A58" s="4">
        <v>29</v>
      </c>
      <c r="B58" s="3" t="s">
        <v>87</v>
      </c>
      <c r="C58" s="2" t="s">
        <v>29</v>
      </c>
      <c r="E58" s="6">
        <v>45034</v>
      </c>
      <c r="F58" t="s">
        <v>140</v>
      </c>
      <c r="G58" s="7">
        <v>28.520421000046898</v>
      </c>
      <c r="H58" s="7">
        <v>126.9275170903589</v>
      </c>
      <c r="K58">
        <f t="shared" si="1"/>
        <v>171.1225260002814</v>
      </c>
    </row>
    <row r="59" spans="1:13" x14ac:dyDescent="0.2">
      <c r="A59" s="4">
        <v>20</v>
      </c>
      <c r="B59" s="3" t="s">
        <v>78</v>
      </c>
      <c r="C59" s="2" t="s">
        <v>20</v>
      </c>
      <c r="E59" s="6">
        <v>45034</v>
      </c>
      <c r="F59" t="s">
        <v>131</v>
      </c>
      <c r="G59" s="7">
        <v>42.962031609800398</v>
      </c>
      <c r="H59" s="7">
        <v>119.21774736156691</v>
      </c>
      <c r="K59">
        <f>G59*6</f>
        <v>257.7721896588024</v>
      </c>
    </row>
  </sheetData>
  <sortState xmlns:xlrd2="http://schemas.microsoft.com/office/spreadsheetml/2017/richdata2" ref="A2:C59">
    <sortCondition ref="B2:B59"/>
  </sortState>
  <pageMargins left="0.7" right="0.7" top="0.75" bottom="0.75" header="0.3" footer="0.3"/>
  <pageSetup scale="77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Yuting Zhu</cp:lastModifiedBy>
  <cp:lastPrinted>2023-04-11T20:33:05Z</cp:lastPrinted>
  <dcterms:created xsi:type="dcterms:W3CDTF">2023-04-11T20:30:13Z</dcterms:created>
  <dcterms:modified xsi:type="dcterms:W3CDTF">2026-03-02T04:58:46Z</dcterms:modified>
</cp:coreProperties>
</file>